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zaf\Documents\"/>
    </mc:Choice>
  </mc:AlternateContent>
  <xr:revisionPtr revIDLastSave="0" documentId="8_{C4F30C55-A023-4365-86D4-129BF0D45710}" xr6:coauthVersionLast="47" xr6:coauthVersionMax="47" xr10:uidLastSave="{00000000-0000-0000-0000-000000000000}"/>
  <bookViews>
    <workbookView xWindow="-110" yWindow="-110" windowWidth="20700" windowHeight="11140" xr2:uid="{E399A930-498A-4FDB-B452-1B8E273CB63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1" i="1" l="1"/>
  <c r="D69" i="1"/>
  <c r="D67" i="1"/>
  <c r="D66" i="1"/>
  <c r="D68" i="1"/>
  <c r="D65" i="1"/>
  <c r="D64" i="1"/>
  <c r="D63" i="1"/>
  <c r="D62" i="1"/>
  <c r="D57" i="1"/>
  <c r="D56" i="1"/>
  <c r="D61" i="1"/>
  <c r="D59" i="1"/>
  <c r="D60" i="1"/>
  <c r="D58" i="1"/>
  <c r="D55" i="1"/>
  <c r="D54" i="1"/>
  <c r="D52" i="1"/>
</calcChain>
</file>

<file path=xl/sharedStrings.xml><?xml version="1.0" encoding="utf-8"?>
<sst xmlns="http://schemas.openxmlformats.org/spreadsheetml/2006/main" count="84" uniqueCount="65">
  <si>
    <t>Devir</t>
  </si>
  <si>
    <t>Nakit</t>
  </si>
  <si>
    <t>Kredi Kartı</t>
  </si>
  <si>
    <t>Sodexho</t>
  </si>
  <si>
    <t>Multinet</t>
  </si>
  <si>
    <t>Ticket</t>
  </si>
  <si>
    <t>Setcard</t>
  </si>
  <si>
    <t>Cari</t>
  </si>
  <si>
    <t>DengePOS</t>
  </si>
  <si>
    <t>Suitable POS</t>
  </si>
  <si>
    <t>Kredi kartı</t>
  </si>
  <si>
    <t>Online Kredi Kartı</t>
  </si>
  <si>
    <t>Panel Bilgileri</t>
  </si>
  <si>
    <t>Satış</t>
  </si>
  <si>
    <t>Sipariş sayısı</t>
  </si>
  <si>
    <t>Paket sipariş sayısı</t>
  </si>
  <si>
    <t>yemeksepeti</t>
  </si>
  <si>
    <t>trendyol</t>
  </si>
  <si>
    <t>getir</t>
  </si>
  <si>
    <t>migros</t>
  </si>
  <si>
    <t>fuudy</t>
  </si>
  <si>
    <t>suitable</t>
  </si>
  <si>
    <t>tıklagelsin</t>
  </si>
  <si>
    <t>Z Bilgileri</t>
  </si>
  <si>
    <r>
      <t>2C 565524</t>
    </r>
    <r>
      <rPr>
        <b/>
        <sz val="14"/>
        <color theme="1"/>
        <rFont val="Aptos Narrow"/>
        <family val="2"/>
        <scheme val="minor"/>
      </rPr>
      <t>19</t>
    </r>
  </si>
  <si>
    <r>
      <t>2C 565536</t>
    </r>
    <r>
      <rPr>
        <b/>
        <sz val="14"/>
        <color theme="1"/>
        <rFont val="Aptos Narrow"/>
        <family val="2"/>
        <scheme val="minor"/>
      </rPr>
      <t>24</t>
    </r>
  </si>
  <si>
    <r>
      <t>2D 100277</t>
    </r>
    <r>
      <rPr>
        <b/>
        <sz val="14"/>
        <color theme="1"/>
        <rFont val="Aptos Narrow"/>
        <family val="2"/>
        <scheme val="minor"/>
      </rPr>
      <t>01</t>
    </r>
  </si>
  <si>
    <r>
      <t>JH 200882</t>
    </r>
    <r>
      <rPr>
        <b/>
        <sz val="14"/>
        <color theme="1"/>
        <rFont val="Aptos Narrow"/>
        <family val="2"/>
        <scheme val="minor"/>
      </rPr>
      <t>20</t>
    </r>
  </si>
  <si>
    <t>kasaya para kondu</t>
  </si>
  <si>
    <t>Harcamalar</t>
  </si>
  <si>
    <t>Nakit Çıkışı</t>
  </si>
  <si>
    <t>bankaya yatırıldı</t>
  </si>
  <si>
    <t>34 fe 3454</t>
  </si>
  <si>
    <t>market Lışveriş</t>
  </si>
  <si>
    <t>Yakıt Alımı</t>
  </si>
  <si>
    <t>bulgur alındı</t>
  </si>
  <si>
    <t>hammade alımı</t>
  </si>
  <si>
    <t>su alındı</t>
  </si>
  <si>
    <t>Hesaplanan Nakit</t>
  </si>
  <si>
    <t>Fiziki Kasa Sayımı</t>
  </si>
  <si>
    <t>kasada 95 TL nakit eksiktir</t>
  </si>
  <si>
    <t>kesilmesi gereken Nakit Fişi</t>
  </si>
  <si>
    <t>Kesilen Nakit Fişi</t>
  </si>
  <si>
    <t>7745 nakit fişi eksik kesilmiştir</t>
  </si>
  <si>
    <t>Panel sipariş tutarı</t>
  </si>
  <si>
    <t>Panel sipariş sayısı</t>
  </si>
  <si>
    <t>POS sipariş Tutarı</t>
  </si>
  <si>
    <t>POS sipariş sayısı</t>
  </si>
  <si>
    <t>36000 TL ipariş sisteme yansımamıştır</t>
  </si>
  <si>
    <t>Sipariş sayıları tutmaktadır</t>
  </si>
  <si>
    <t>Multinet Hesaplanan</t>
  </si>
  <si>
    <t>rapor</t>
  </si>
  <si>
    <t>Hesaplanan Kredi Kartı</t>
  </si>
  <si>
    <t>Fiziki Kredi Kartı</t>
  </si>
  <si>
    <t>24701 TL eksik kesilmiştir</t>
  </si>
  <si>
    <t>Multinet Fiziki</t>
  </si>
  <si>
    <t>2600 tl fark vardır</t>
  </si>
  <si>
    <t>2601 tl fark vardır</t>
  </si>
  <si>
    <t>Sodexho Hesaplanan</t>
  </si>
  <si>
    <t>Sodexho Fiziki</t>
  </si>
  <si>
    <t>Ticket Hesaplanan</t>
  </si>
  <si>
    <t>Ticket Fiziki</t>
  </si>
  <si>
    <t>Set Card Hesaplanan</t>
  </si>
  <si>
    <t>Setcard Fiziki</t>
  </si>
  <si>
    <t>Toplam Satış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</si>
</sst>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sz val="11"/>
      <color rgb="FF00B05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3" fillId="0" borderId="0" xfId="0" applyFont="1"/>
    <xf numFmtId="4" fontId="1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 applyFill="1" applyBorder="1"/>
    <xf numFmtId="0" fontId="6" fillId="0" borderId="0" xfId="0" applyFont="1"/>
    <xf numFmtId="0" fontId="0" fillId="0" borderId="1" xfId="0" applyBorder="1"/>
    <xf numFmtId="4" fontId="2" fillId="0" borderId="2" xfId="0" applyNumberFormat="1" applyFont="1" applyBorder="1"/>
    <xf numFmtId="0" fontId="0" fillId="0" borderId="3" xfId="0" applyBorder="1" applyAlignment="1">
      <alignment horizontal="center" wrapText="1"/>
    </xf>
    <xf numFmtId="0" fontId="0" fillId="0" borderId="4" xfId="0" applyBorder="1"/>
    <xf numFmtId="4" fontId="2" fillId="0" borderId="5" xfId="0" applyNumberFormat="1" applyFont="1" applyBorder="1"/>
    <xf numFmtId="0" fontId="0" fillId="0" borderId="6" xfId="0" applyBorder="1" applyAlignment="1">
      <alignment horizontal="center" wrapText="1"/>
    </xf>
    <xf numFmtId="0" fontId="0" fillId="0" borderId="7" xfId="0" applyFill="1" applyBorder="1"/>
    <xf numFmtId="0" fontId="0" fillId="0" borderId="7" xfId="0" applyBorder="1"/>
    <xf numFmtId="4" fontId="2" fillId="0" borderId="0" xfId="0" applyNumberFormat="1" applyFont="1" applyBorder="1"/>
    <xf numFmtId="4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A814-0903-4E0C-8659-FD911EFCDFFD}">
  <dimension ref="C4:E69"/>
  <sheetViews>
    <sheetView tabSelected="1" workbookViewId="0">
      <selection activeCell="H64" sqref="H64"/>
    </sheetView>
  </sheetViews>
  <sheetFormatPr defaultRowHeight="14.5" x14ac:dyDescent="0.35"/>
  <cols>
    <col min="3" max="3" width="23.26953125" customWidth="1"/>
    <col min="4" max="4" width="11.26953125" style="3" customWidth="1"/>
    <col min="5" max="5" width="15.453125" customWidth="1"/>
  </cols>
  <sheetData>
    <row r="4" spans="3:5" x14ac:dyDescent="0.35">
      <c r="C4" s="5" t="s">
        <v>0</v>
      </c>
      <c r="D4" s="6">
        <v>10000</v>
      </c>
    </row>
    <row r="5" spans="3:5" x14ac:dyDescent="0.35">
      <c r="C5" s="5" t="s">
        <v>28</v>
      </c>
      <c r="D5" s="6">
        <v>5000</v>
      </c>
    </row>
    <row r="6" spans="3:5" x14ac:dyDescent="0.35">
      <c r="C6" s="8" t="s">
        <v>8</v>
      </c>
      <c r="D6" s="8"/>
      <c r="E6" s="8"/>
    </row>
    <row r="7" spans="3:5" x14ac:dyDescent="0.35">
      <c r="C7" s="5" t="s">
        <v>1</v>
      </c>
      <c r="D7" s="6">
        <v>1745</v>
      </c>
      <c r="E7" s="4"/>
    </row>
    <row r="8" spans="3:5" x14ac:dyDescent="0.35">
      <c r="C8" s="5" t="s">
        <v>2</v>
      </c>
      <c r="D8" s="6">
        <v>36701</v>
      </c>
      <c r="E8" s="4"/>
    </row>
    <row r="9" spans="3:5" x14ac:dyDescent="0.35">
      <c r="C9" s="5" t="s">
        <v>3</v>
      </c>
      <c r="D9" s="6">
        <v>1072.5</v>
      </c>
      <c r="E9" s="4"/>
    </row>
    <row r="10" spans="3:5" x14ac:dyDescent="0.35">
      <c r="C10" s="5" t="s">
        <v>4</v>
      </c>
      <c r="D10" s="6">
        <v>3100</v>
      </c>
      <c r="E10" s="4"/>
    </row>
    <row r="11" spans="3:5" x14ac:dyDescent="0.35">
      <c r="C11" s="5" t="s">
        <v>5</v>
      </c>
      <c r="D11" s="6">
        <v>1000</v>
      </c>
      <c r="E11" s="4"/>
    </row>
    <row r="12" spans="3:5" x14ac:dyDescent="0.35">
      <c r="C12" s="5" t="s">
        <v>6</v>
      </c>
      <c r="D12" s="6">
        <v>1000</v>
      </c>
      <c r="E12" s="4"/>
    </row>
    <row r="13" spans="3:5" x14ac:dyDescent="0.35">
      <c r="C13" s="5" t="s">
        <v>7</v>
      </c>
      <c r="D13" s="6">
        <v>1000</v>
      </c>
      <c r="E13" s="4"/>
    </row>
    <row r="14" spans="3:5" x14ac:dyDescent="0.35">
      <c r="C14" s="8" t="s">
        <v>9</v>
      </c>
      <c r="D14" s="8"/>
      <c r="E14" s="8"/>
    </row>
    <row r="15" spans="3:5" x14ac:dyDescent="0.35">
      <c r="C15" s="5" t="s">
        <v>1</v>
      </c>
      <c r="D15" s="6">
        <v>3000</v>
      </c>
      <c r="E15" s="4"/>
    </row>
    <row r="16" spans="3:5" x14ac:dyDescent="0.35">
      <c r="C16" s="5" t="s">
        <v>10</v>
      </c>
      <c r="D16" s="6">
        <v>4000</v>
      </c>
      <c r="E16" s="4"/>
    </row>
    <row r="17" spans="3:5" x14ac:dyDescent="0.35">
      <c r="C17" s="5" t="s">
        <v>11</v>
      </c>
      <c r="D17" s="6">
        <v>15000</v>
      </c>
      <c r="E17" s="4"/>
    </row>
    <row r="18" spans="3:5" x14ac:dyDescent="0.35">
      <c r="C18" s="5" t="s">
        <v>3</v>
      </c>
      <c r="D18" s="6">
        <v>2500</v>
      </c>
      <c r="E18" s="4"/>
    </row>
    <row r="19" spans="3:5" x14ac:dyDescent="0.35">
      <c r="C19" s="5" t="s">
        <v>4</v>
      </c>
      <c r="D19" s="6">
        <v>3500</v>
      </c>
      <c r="E19" s="4"/>
    </row>
    <row r="20" spans="3:5" x14ac:dyDescent="0.35">
      <c r="C20" s="5" t="s">
        <v>5</v>
      </c>
      <c r="D20" s="6">
        <v>4000</v>
      </c>
      <c r="E20" s="4"/>
    </row>
    <row r="21" spans="3:5" x14ac:dyDescent="0.35">
      <c r="C21" s="5" t="s">
        <v>6</v>
      </c>
      <c r="D21" s="6">
        <v>2000</v>
      </c>
      <c r="E21" s="4"/>
    </row>
    <row r="22" spans="3:5" x14ac:dyDescent="0.35">
      <c r="C22" s="5" t="s">
        <v>15</v>
      </c>
      <c r="D22" s="2">
        <v>140</v>
      </c>
    </row>
    <row r="23" spans="3:5" x14ac:dyDescent="0.35">
      <c r="C23" s="8" t="s">
        <v>12</v>
      </c>
      <c r="D23" s="8"/>
      <c r="E23" s="8"/>
    </row>
    <row r="24" spans="3:5" x14ac:dyDescent="0.35">
      <c r="D24" s="3" t="s">
        <v>13</v>
      </c>
      <c r="E24" t="s">
        <v>14</v>
      </c>
    </row>
    <row r="25" spans="3:5" x14ac:dyDescent="0.35">
      <c r="C25" s="5" t="s">
        <v>16</v>
      </c>
      <c r="D25" s="6">
        <v>10000</v>
      </c>
      <c r="E25" s="1">
        <v>20</v>
      </c>
    </row>
    <row r="26" spans="3:5" x14ac:dyDescent="0.35">
      <c r="C26" s="5" t="s">
        <v>17</v>
      </c>
      <c r="D26" s="6">
        <v>10000</v>
      </c>
      <c r="E26" s="1">
        <v>20</v>
      </c>
    </row>
    <row r="27" spans="3:5" x14ac:dyDescent="0.35">
      <c r="C27" s="5" t="s">
        <v>18</v>
      </c>
      <c r="D27" s="6">
        <v>10000</v>
      </c>
      <c r="E27" s="1">
        <v>20</v>
      </c>
    </row>
    <row r="28" spans="3:5" x14ac:dyDescent="0.35">
      <c r="C28" s="5" t="s">
        <v>19</v>
      </c>
      <c r="D28" s="6">
        <v>10000</v>
      </c>
      <c r="E28" s="1">
        <v>20</v>
      </c>
    </row>
    <row r="29" spans="3:5" x14ac:dyDescent="0.35">
      <c r="C29" s="5" t="s">
        <v>20</v>
      </c>
      <c r="D29" s="6">
        <v>10000</v>
      </c>
      <c r="E29" s="1">
        <v>20</v>
      </c>
    </row>
    <row r="30" spans="3:5" x14ac:dyDescent="0.35">
      <c r="C30" s="5" t="s">
        <v>21</v>
      </c>
      <c r="D30" s="6">
        <v>10000</v>
      </c>
      <c r="E30" s="1">
        <v>20</v>
      </c>
    </row>
    <row r="31" spans="3:5" x14ac:dyDescent="0.35">
      <c r="C31" s="5" t="s">
        <v>22</v>
      </c>
      <c r="D31" s="6">
        <v>10000</v>
      </c>
      <c r="E31" s="1">
        <v>20</v>
      </c>
    </row>
    <row r="32" spans="3:5" x14ac:dyDescent="0.35">
      <c r="C32" s="8" t="s">
        <v>23</v>
      </c>
      <c r="D32" s="8"/>
      <c r="E32" s="8"/>
    </row>
    <row r="33" spans="3:5" ht="18.5" customHeight="1" x14ac:dyDescent="0.35">
      <c r="C33" s="9" t="s">
        <v>24</v>
      </c>
      <c r="D33" s="3" t="s">
        <v>1</v>
      </c>
      <c r="E33" s="10">
        <v>3000</v>
      </c>
    </row>
    <row r="34" spans="3:5" x14ac:dyDescent="0.35">
      <c r="C34" s="9"/>
      <c r="D34" s="3" t="s">
        <v>2</v>
      </c>
      <c r="E34" s="10">
        <v>4000</v>
      </c>
    </row>
    <row r="35" spans="3:5" ht="18.5" customHeight="1" x14ac:dyDescent="0.35">
      <c r="C35" s="9" t="s">
        <v>25</v>
      </c>
      <c r="D35" s="3" t="s">
        <v>1</v>
      </c>
      <c r="E35" s="10">
        <v>3000</v>
      </c>
    </row>
    <row r="36" spans="3:5" x14ac:dyDescent="0.35">
      <c r="C36" s="9"/>
      <c r="D36" s="3" t="s">
        <v>2</v>
      </c>
      <c r="E36" s="10">
        <v>4000</v>
      </c>
    </row>
    <row r="37" spans="3:5" ht="18.5" customHeight="1" x14ac:dyDescent="0.35">
      <c r="C37" s="9" t="s">
        <v>26</v>
      </c>
      <c r="D37" s="3" t="s">
        <v>1</v>
      </c>
      <c r="E37" s="10">
        <v>3000</v>
      </c>
    </row>
    <row r="38" spans="3:5" x14ac:dyDescent="0.35">
      <c r="C38" s="9"/>
      <c r="D38" s="3" t="s">
        <v>2</v>
      </c>
      <c r="E38" s="10">
        <v>4000</v>
      </c>
    </row>
    <row r="39" spans="3:5" ht="18.5" customHeight="1" x14ac:dyDescent="0.35">
      <c r="C39" s="9" t="s">
        <v>27</v>
      </c>
      <c r="D39" s="3" t="s">
        <v>1</v>
      </c>
      <c r="E39" s="10">
        <v>3000</v>
      </c>
    </row>
    <row r="40" spans="3:5" x14ac:dyDescent="0.35">
      <c r="C40" s="9"/>
      <c r="D40" s="3" t="s">
        <v>2</v>
      </c>
      <c r="E40" s="10">
        <v>4000</v>
      </c>
    </row>
    <row r="41" spans="3:5" x14ac:dyDescent="0.35">
      <c r="C41" s="5" t="s">
        <v>3</v>
      </c>
      <c r="E41" s="10">
        <v>3000</v>
      </c>
    </row>
    <row r="42" spans="3:5" x14ac:dyDescent="0.35">
      <c r="C42" s="5" t="s">
        <v>4</v>
      </c>
      <c r="E42" s="10">
        <v>4000</v>
      </c>
    </row>
    <row r="43" spans="3:5" x14ac:dyDescent="0.35">
      <c r="C43" s="5" t="s">
        <v>5</v>
      </c>
      <c r="E43" s="10">
        <v>2000</v>
      </c>
    </row>
    <row r="44" spans="3:5" x14ac:dyDescent="0.35">
      <c r="C44" s="5" t="s">
        <v>6</v>
      </c>
      <c r="E44" s="10">
        <v>1000</v>
      </c>
    </row>
    <row r="45" spans="3:5" x14ac:dyDescent="0.35">
      <c r="C45" s="8" t="s">
        <v>29</v>
      </c>
      <c r="D45" s="8"/>
      <c r="E45" s="8"/>
    </row>
    <row r="46" spans="3:5" x14ac:dyDescent="0.35">
      <c r="C46" s="5" t="s">
        <v>30</v>
      </c>
      <c r="D46" s="6">
        <v>10000</v>
      </c>
      <c r="E46" s="1" t="s">
        <v>31</v>
      </c>
    </row>
    <row r="47" spans="3:5" x14ac:dyDescent="0.35">
      <c r="C47" s="11" t="s">
        <v>34</v>
      </c>
      <c r="D47" s="6">
        <v>250</v>
      </c>
      <c r="E47" s="1" t="s">
        <v>32</v>
      </c>
    </row>
    <row r="48" spans="3:5" x14ac:dyDescent="0.35">
      <c r="C48" s="11" t="s">
        <v>33</v>
      </c>
      <c r="D48" s="6">
        <v>300</v>
      </c>
      <c r="E48" s="1" t="s">
        <v>35</v>
      </c>
    </row>
    <row r="49" spans="3:5" x14ac:dyDescent="0.35">
      <c r="C49" s="1" t="s">
        <v>36</v>
      </c>
      <c r="D49" s="6">
        <v>500</v>
      </c>
      <c r="E49" s="1" t="s">
        <v>37</v>
      </c>
    </row>
    <row r="50" spans="3:5" x14ac:dyDescent="0.35">
      <c r="C50" s="8" t="s">
        <v>51</v>
      </c>
      <c r="D50" s="8"/>
      <c r="E50" s="8"/>
    </row>
    <row r="51" spans="3:5" x14ac:dyDescent="0.35">
      <c r="C51" s="7" t="s">
        <v>64</v>
      </c>
      <c r="D51" s="21">
        <f>SUM(D7:D13,D15:D21)</f>
        <v>79618.5</v>
      </c>
      <c r="E51" s="7"/>
    </row>
    <row r="52" spans="3:5" x14ac:dyDescent="0.35">
      <c r="C52" s="12" t="s">
        <v>38</v>
      </c>
      <c r="D52" s="13">
        <f>(D4+D5+D7+D15)-(D46+D47+D48+D49)</f>
        <v>8695</v>
      </c>
      <c r="E52" s="14" t="s">
        <v>40</v>
      </c>
    </row>
    <row r="53" spans="3:5" x14ac:dyDescent="0.35">
      <c r="C53" s="15" t="s">
        <v>39</v>
      </c>
      <c r="D53" s="16">
        <v>8600</v>
      </c>
      <c r="E53" s="17"/>
    </row>
    <row r="54" spans="3:5" x14ac:dyDescent="0.35">
      <c r="C54" s="12" t="s">
        <v>41</v>
      </c>
      <c r="D54" s="13">
        <f>D7+D15+D17</f>
        <v>19745</v>
      </c>
      <c r="E54" s="14" t="s">
        <v>43</v>
      </c>
    </row>
    <row r="55" spans="3:5" x14ac:dyDescent="0.35">
      <c r="C55" s="15" t="s">
        <v>42</v>
      </c>
      <c r="D55" s="16">
        <f>E33+E35+E37+E39</f>
        <v>12000</v>
      </c>
      <c r="E55" s="17"/>
    </row>
    <row r="56" spans="3:5" x14ac:dyDescent="0.35">
      <c r="C56" s="19" t="s">
        <v>52</v>
      </c>
      <c r="D56" s="20">
        <f>D8+D16</f>
        <v>40701</v>
      </c>
      <c r="E56" s="14" t="s">
        <v>54</v>
      </c>
    </row>
    <row r="57" spans="3:5" x14ac:dyDescent="0.35">
      <c r="C57" s="19" t="s">
        <v>53</v>
      </c>
      <c r="D57" s="20">
        <f>E34+E36+E38+E40</f>
        <v>16000</v>
      </c>
      <c r="E57" s="17"/>
    </row>
    <row r="58" spans="3:5" x14ac:dyDescent="0.35">
      <c r="C58" s="12" t="s">
        <v>44</v>
      </c>
      <c r="D58" s="13">
        <f>SUM(D25:D31)</f>
        <v>70000</v>
      </c>
      <c r="E58" s="14" t="s">
        <v>48</v>
      </c>
    </row>
    <row r="59" spans="3:5" x14ac:dyDescent="0.35">
      <c r="C59" s="15" t="s">
        <v>46</v>
      </c>
      <c r="D59" s="16">
        <f>SUM(D15:D21)</f>
        <v>34000</v>
      </c>
      <c r="E59" s="17"/>
    </row>
    <row r="60" spans="3:5" x14ac:dyDescent="0.35">
      <c r="C60" s="12" t="s">
        <v>45</v>
      </c>
      <c r="D60" s="13">
        <f>SUM(E25:E31)</f>
        <v>140</v>
      </c>
      <c r="E60" s="14" t="s">
        <v>49</v>
      </c>
    </row>
    <row r="61" spans="3:5" x14ac:dyDescent="0.35">
      <c r="C61" s="15" t="s">
        <v>47</v>
      </c>
      <c r="D61" s="16">
        <f>D22</f>
        <v>140</v>
      </c>
      <c r="E61" s="17"/>
    </row>
    <row r="62" spans="3:5" x14ac:dyDescent="0.35">
      <c r="C62" s="18" t="s">
        <v>50</v>
      </c>
      <c r="D62" s="4">
        <f>D10+D19</f>
        <v>6600</v>
      </c>
      <c r="E62" s="14" t="s">
        <v>56</v>
      </c>
    </row>
    <row r="63" spans="3:5" x14ac:dyDescent="0.35">
      <c r="C63" s="18" t="s">
        <v>55</v>
      </c>
      <c r="D63" s="4">
        <f>E42</f>
        <v>4000</v>
      </c>
      <c r="E63" s="17"/>
    </row>
    <row r="64" spans="3:5" x14ac:dyDescent="0.35">
      <c r="C64" s="18" t="s">
        <v>58</v>
      </c>
      <c r="D64" s="4">
        <f>D9+D18</f>
        <v>3572.5</v>
      </c>
      <c r="E64" s="14" t="s">
        <v>57</v>
      </c>
    </row>
    <row r="65" spans="3:5" x14ac:dyDescent="0.35">
      <c r="C65" s="18" t="s">
        <v>59</v>
      </c>
      <c r="D65" s="4">
        <f>E41</f>
        <v>3000</v>
      </c>
      <c r="E65" s="17"/>
    </row>
    <row r="66" spans="3:5" x14ac:dyDescent="0.35">
      <c r="C66" s="18" t="s">
        <v>60</v>
      </c>
      <c r="D66" s="4">
        <f>D11+D20</f>
        <v>5000</v>
      </c>
      <c r="E66" s="14" t="s">
        <v>57</v>
      </c>
    </row>
    <row r="67" spans="3:5" x14ac:dyDescent="0.35">
      <c r="C67" s="18" t="s">
        <v>61</v>
      </c>
      <c r="D67" s="4">
        <f>E43</f>
        <v>2000</v>
      </c>
      <c r="E67" s="17"/>
    </row>
    <row r="68" spans="3:5" x14ac:dyDescent="0.35">
      <c r="C68" s="18" t="s">
        <v>62</v>
      </c>
      <c r="D68" s="4">
        <f>D12+D21</f>
        <v>3000</v>
      </c>
      <c r="E68" s="14" t="s">
        <v>57</v>
      </c>
    </row>
    <row r="69" spans="3:5" x14ac:dyDescent="0.35">
      <c r="C69" s="18" t="s">
        <v>63</v>
      </c>
      <c r="D69" s="4">
        <f>E44</f>
        <v>1000</v>
      </c>
      <c r="E69" s="17"/>
    </row>
  </sheetData>
  <mergeCells count="19">
    <mergeCell ref="E68:E69"/>
    <mergeCell ref="E58:E59"/>
    <mergeCell ref="E60:E61"/>
    <mergeCell ref="E56:E57"/>
    <mergeCell ref="E62:E63"/>
    <mergeCell ref="E64:E65"/>
    <mergeCell ref="E66:E67"/>
    <mergeCell ref="C37:C38"/>
    <mergeCell ref="C39:C40"/>
    <mergeCell ref="C45:E45"/>
    <mergeCell ref="C50:E50"/>
    <mergeCell ref="E52:E53"/>
    <mergeCell ref="E54:E55"/>
    <mergeCell ref="C6:E6"/>
    <mergeCell ref="C14:E14"/>
    <mergeCell ref="C23:E23"/>
    <mergeCell ref="C32:E32"/>
    <mergeCell ref="C33:C34"/>
    <mergeCell ref="C35:C3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1109</dc:creator>
  <cp:lastModifiedBy>Q 1109</cp:lastModifiedBy>
  <dcterms:created xsi:type="dcterms:W3CDTF">2026-09-04T12:24:27Z</dcterms:created>
  <dcterms:modified xsi:type="dcterms:W3CDTF">2026-09-04T14:04:45Z</dcterms:modified>
</cp:coreProperties>
</file>